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8E950D0-A5B3-4415-9FA3-189D81E29C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 grade" sheetId="1" r:id="rId1"/>
    <sheet name="employee data" sheetId="3" r:id="rId2"/>
    <sheet name="sales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L3" i="1"/>
  <c r="K2" i="3"/>
  <c r="N2" i="1"/>
  <c r="M5" i="3" l="1"/>
  <c r="M2" i="2"/>
  <c r="N8" i="2"/>
  <c r="K8" i="2"/>
  <c r="P2" i="1" a="1"/>
  <c r="P2" i="1" s="1"/>
  <c r="P2" i="2"/>
  <c r="O2" i="2"/>
  <c r="N2" i="2"/>
  <c r="O2" i="1"/>
  <c r="J2" i="3"/>
  <c r="K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I2" i="2"/>
  <c r="H2" i="2"/>
  <c r="H12" i="2"/>
  <c r="H13" i="2"/>
  <c r="H14" i="2"/>
  <c r="H15" i="2"/>
  <c r="H16" i="2"/>
  <c r="H17" i="2"/>
  <c r="H18" i="2"/>
  <c r="H19" i="2"/>
  <c r="H20" i="2"/>
  <c r="H21" i="2"/>
  <c r="H3" i="2"/>
  <c r="H4" i="2"/>
  <c r="H5" i="2"/>
  <c r="H6" i="2"/>
  <c r="H7" i="2"/>
  <c r="H8" i="2"/>
  <c r="H9" i="2"/>
  <c r="H10" i="2"/>
  <c r="H1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I2" i="3"/>
  <c r="L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<sst xmlns="http://schemas.openxmlformats.org/spreadsheetml/2006/main" count="173" uniqueCount="119">
  <si>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</si>
  <si>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</si>
  <si>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</si>
  <si>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</si>
  <si>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</si>
  <si>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</si>
  <si>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</si>
  <si>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</si>
  <si>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</si>
  <si>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</si>
  <si>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</si>
  <si>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</si>
  <si>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</si>
  <si>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</si>
  <si>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</si>
  <si>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</si>
  <si>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</si>
  <si>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</si>
  <si>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</si>
  <si>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</si>
  <si>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</si>
  <si>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</si>
  <si>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</si>
  <si>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</si>
  <si>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</si>
  <si>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</si>
  <si>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</si>
  <si>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</si>
  <si>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</si>
  <si>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</si>
  <si>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</si>
  <si>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</si>
  <si>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</si>
  <si>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</si>
  <si>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</si>
  <si>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</si>
  <si>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</si>
  <si>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</si>
  <si>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</si>
  <si>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</si>
  <si>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</si>
  <si>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</si>
  <si>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</si>
  <si>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</si>
  <si>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</si>
  <si>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</si>
  <si>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</si>
  <si>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</si>
  <si>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</si>
  <si>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</si>
  <si>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</si>
  <si>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</si>
  <si>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</si>
  <si>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</si>
  <si>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</si>
  <si>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</si>
  <si>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</si>
  <si>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</si>
  <si>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</si>
  <si>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</si>
  <si>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</si>
  <si>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</si>
  <si>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</si>
  <si>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</si>
  <si>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</si>
  <si>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</si>
  <si>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</si>
  <si>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</si>
  <si>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</si>
  <si>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</si>
  <si>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</si>
  <si>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</si>
  <si>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</si>
  <si>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</si>
  <si>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</si>
  <si>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</si>
  <si>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</si>
  <si>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</si>
  <si>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</si>
  <si>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</si>
  <si>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</si>
  <si>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</si>
  <si>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</si>
  <si>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</si>
  <si>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</si>
  <si>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</si>
  <si>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</si>
  <si>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</si>
  <si>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</t>
  </si>
  <si>
    <t>grade</t>
  </si>
  <si>
    <t>disc</t>
  </si>
  <si>
    <t>student scoring</t>
  </si>
  <si>
    <t>product eligible for disc</t>
  </si>
  <si>
    <t>total sales for south region kyboard</t>
  </si>
  <si>
    <t xml:space="preserve">average math score scoring above 60 </t>
  </si>
  <si>
    <t>vlookup</t>
  </si>
  <si>
    <t>first name</t>
  </si>
  <si>
    <t>uppercase</t>
  </si>
  <si>
    <t>xmatch</t>
  </si>
  <si>
    <t>e2:e10</t>
  </si>
  <si>
    <t>indirect</t>
  </si>
  <si>
    <t>d2:d5</t>
  </si>
  <si>
    <t>C2:E2</t>
  </si>
  <si>
    <t>offset</t>
  </si>
  <si>
    <t>joining date</t>
  </si>
  <si>
    <t>round function</t>
  </si>
  <si>
    <t>ceiling function</t>
  </si>
  <si>
    <t>floor function</t>
  </si>
  <si>
    <r>
      <rPr>
        <b/>
        <i/>
        <sz val="11"/>
        <color theme="1"/>
        <rFont val="Calibri"/>
        <family val="2"/>
        <scheme val="minor"/>
      </rPr>
      <t xml:space="preserve">                                                  </t>
    </r>
    <r>
      <rPr>
        <b/>
        <i/>
        <sz val="26"/>
        <color theme="1"/>
        <rFont val="Calibri"/>
        <family val="2"/>
        <scheme val="minor"/>
      </rPr>
      <t>filter function</t>
    </r>
  </si>
  <si>
    <t>S.NO</t>
  </si>
  <si>
    <t>AMOUNT</t>
  </si>
  <si>
    <t>VLOOKUP</t>
  </si>
  <si>
    <t>SALESPERSON</t>
  </si>
  <si>
    <t>person 5</t>
  </si>
  <si>
    <t>XLOOKUP</t>
  </si>
  <si>
    <t>NAME</t>
  </si>
  <si>
    <t>JOINING DATE</t>
  </si>
  <si>
    <t>EMP 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</si>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</sst>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i/>
      <sz val="26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i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0" fillId="0" borderId="0" xfId="0" applyNumberFormat="1"/>
    <xf numFmtId="14" fontId="0" fillId="0" borderId="0" xfId="0" applyNumberFormat="1"/>
    <xf numFmtId="164" fontId="3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49" fontId="3" fillId="0" borderId="4" xfId="0" applyNumberFormat="1" applyFont="1" applyBorder="1" applyAlignment="1">
      <alignment horizontal="center" vertical="center" wrapText="1"/>
    </xf>
    <xf numFmtId="49" fontId="0" fillId="0" borderId="0" xfId="0" applyNumberFormat="1"/>
    <xf numFmtId="1" fontId="2" fillId="2" borderId="2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2" fillId="2" borderId="1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1" fontId="0" fillId="0" borderId="5" xfId="0" applyNumberFormat="1" applyBorder="1"/>
    <xf numFmtId="1" fontId="2" fillId="2" borderId="8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1" fillId="0" borderId="5" xfId="0" applyFont="1" applyBorder="1"/>
    <xf numFmtId="0" fontId="2" fillId="0" borderId="5" xfId="0" applyFont="1" applyBorder="1"/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5" xfId="0" applyFont="1" applyBorder="1"/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" fillId="0" borderId="11" xfId="0" applyFont="1" applyBorder="1"/>
    <xf numFmtId="0" fontId="6" fillId="0" borderId="11" xfId="0" applyFont="1" applyBorder="1"/>
    <xf numFmtId="14" fontId="0" fillId="0" borderId="5" xfId="0" applyNumberFormat="1" applyBorder="1"/>
    <xf numFmtId="0" fontId="6" fillId="0" borderId="13" xfId="0" applyFont="1" applyBorder="1" applyAlignment="1">
      <alignment horizontal="center"/>
    </xf>
    <xf numFmtId="14" fontId="6" fillId="0" borderId="11" xfId="0" applyNumberFormat="1" applyFont="1" applyBorder="1"/>
    <xf numFmtId="0" fontId="0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10" xfId="0" applyFont="1" applyBorder="1"/>
    <xf numFmtId="0" fontId="4" fillId="0" borderId="17" xfId="0" applyFont="1" applyBorder="1" applyAlignment="1">
      <alignment vertical="center"/>
    </xf>
    <xf numFmtId="0" fontId="7" fillId="0" borderId="5" xfId="0" applyFont="1" applyBorder="1" applyAlignment="1">
      <alignment horizontal="center"/>
    </xf>
    <xf numFmtId="0" fontId="6" fillId="0" borderId="16" xfId="0" applyFont="1" applyBorder="1"/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8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J1" sqref="J1:J1048576"/>
    </sheetView>
  </sheetViews>
  <sheetFormatPr defaultRowHeight="15"/>
  <cols>
    <col min="1" max="1" width="9.28515625" style="16" customWidth="1"/>
    <col min="2" max="2" width="9.28515625" style="13" customWidth="1"/>
    <col min="3" max="3" width="6" style="16" customWidth="1"/>
    <col min="4" max="4" width="7.7109375" style="16" bestFit="1" customWidth="1"/>
    <col min="5" max="5" width="7.28515625" style="16" bestFit="1" customWidth="1"/>
    <col min="6" max="6" width="15.5703125" style="9" bestFit="1" customWidth="1"/>
    <col min="12" max="12" width="9.42578125" bestFit="1" customWidth="1"/>
  </cols>
  <sheetData>
    <row r="1" spans="1:21" ht="75.75" thickBot="1">
      <c r="A1" s="17" t="s">
        <v>0</v>
      </c>
      <c r="B1" s="4" t="s">
        <v>1</v>
      </c>
      <c r="C1" s="14" t="s">
        <v>2</v>
      </c>
      <c r="D1" s="14" t="s">
        <v>3</v>
      </c>
      <c r="E1" s="14" t="s">
        <v>4</v>
      </c>
      <c r="F1" s="19" t="s">
        <v>5</v>
      </c>
      <c r="G1" s="21" t="s">
        <v>88</v>
      </c>
      <c r="H1" s="21" t="s">
        <v>89</v>
      </c>
      <c r="I1" s="21" t="s">
        <v>91</v>
      </c>
      <c r="J1" s="24" t="s">
        <v>94</v>
      </c>
      <c r="K1" s="52" t="s">
        <v>95</v>
      </c>
      <c r="L1" s="53"/>
      <c r="M1" s="52" t="s">
        <v>100</v>
      </c>
      <c r="N1" s="53"/>
      <c r="O1" s="55" t="s">
        <v>103</v>
      </c>
      <c r="P1" s="32" t="s">
        <v>108</v>
      </c>
      <c r="Q1" s="33"/>
      <c r="R1" s="33"/>
      <c r="S1" s="33"/>
      <c r="T1" s="33"/>
      <c r="U1" s="33"/>
    </row>
    <row r="2" spans="1:21" ht="30.75" thickBot="1">
      <c r="A2" s="18">
        <v>1001</v>
      </c>
      <c r="B2" s="12" t="s">
        <v>6</v>
      </c>
      <c r="C2" s="15">
        <v>61</v>
      </c>
      <c r="D2" s="15">
        <v>48</v>
      </c>
      <c r="E2" s="15">
        <v>76</v>
      </c>
      <c r="F2" s="20">
        <v>43101</v>
      </c>
      <c r="G2" s="23">
        <f>SUM(C2:E2)</f>
        <v>185</v>
      </c>
      <c r="H2" s="22" t="str">
        <f>IF(G2&gt;=270,"A",IF(G2&gt;=240,"B",IF(G2&gt;=210,"C",IF(G2&gt;=180,"D","FAIL"))))</f>
        <v>D</v>
      </c>
      <c r="I2" s="22" t="str">
        <f>IF(AND(C2&gt;80,D2&gt;80),"YES","NO")</f>
        <v>NO</v>
      </c>
      <c r="J2" s="25">
        <f>AVERAGEIFS(C:C,C:C,"&gt;60")</f>
        <v>82.263157894736835</v>
      </c>
      <c r="K2" s="34" t="s">
        <v>118</v>
      </c>
      <c r="L2" s="34" t="s">
        <v>115</v>
      </c>
      <c r="M2" s="22" t="s">
        <v>102</v>
      </c>
      <c r="N2" s="31">
        <f ca="1">SUM(INDIRECT(M2))</f>
        <v>185</v>
      </c>
      <c r="O2" s="31">
        <f ca="1">SUM(OFFSET(C2,0,0,1,3))</f>
        <v>185</v>
      </c>
      <c r="P2" s="22" cm="1">
        <f t="array" ref="P2:U20">_xlfn._xlws.FILTER(A2:F20, F2:F20&gt;80)</f>
        <v>1001</v>
      </c>
      <c r="Q2" s="22" t="str">
        <v>Student 1</v>
      </c>
      <c r="R2" s="22">
        <v>61</v>
      </c>
      <c r="S2" s="22">
        <v>48</v>
      </c>
      <c r="T2" s="22">
        <v>76</v>
      </c>
      <c r="U2" s="22">
        <v>43101</v>
      </c>
    </row>
    <row r="3" spans="1:21" ht="30.75" thickBot="1">
      <c r="A3" s="18">
        <v>1002</v>
      </c>
      <c r="B3" s="12" t="s">
        <v>7</v>
      </c>
      <c r="C3" s="15">
        <v>78</v>
      </c>
      <c r="D3" s="15">
        <v>76</v>
      </c>
      <c r="E3" s="15">
        <v>70</v>
      </c>
      <c r="F3" s="20">
        <v>43281</v>
      </c>
      <c r="G3" s="23">
        <f t="shared" ref="G3:G21" si="0">SUM(C3:E3)</f>
        <v>224</v>
      </c>
      <c r="H3" s="22" t="str">
        <f t="shared" ref="H3:H21" si="1">IF(G3&gt;=270,"A",IF(G3&gt;=240,"B",IF(G3&gt;=210,"C",IF(G3&gt;=180,"D","FAIL"))))</f>
        <v>C</v>
      </c>
      <c r="I3" s="22" t="str">
        <f t="shared" ref="I3:I21" si="2">IF(AND(C3&gt;80,D3&gt;80),"YES","NO")</f>
        <v>NO</v>
      </c>
      <c r="J3" s="25"/>
      <c r="K3" s="54">
        <v>1001</v>
      </c>
      <c r="L3" s="54" t="str">
        <f>VLOOKUP(K3,A1:I21,2)</f>
        <v>Student 1</v>
      </c>
      <c r="M3" s="22"/>
      <c r="N3" s="31"/>
      <c r="O3" s="31"/>
      <c r="P3" s="22">
        <v>1002</v>
      </c>
      <c r="Q3" s="22" t="str">
        <v>Student 2</v>
      </c>
      <c r="R3" s="22">
        <v>78</v>
      </c>
      <c r="S3" s="22">
        <v>76</v>
      </c>
      <c r="T3" s="22">
        <v>70</v>
      </c>
      <c r="U3" s="22">
        <v>43281</v>
      </c>
    </row>
    <row r="4" spans="1:21" ht="30.75" thickBot="1">
      <c r="A4" s="18">
        <v>1003</v>
      </c>
      <c r="B4" s="12" t="s">
        <v>8</v>
      </c>
      <c r="C4" s="15">
        <v>97</v>
      </c>
      <c r="D4" s="15">
        <v>60</v>
      </c>
      <c r="E4" s="15">
        <v>51</v>
      </c>
      <c r="F4" s="20">
        <v>43461</v>
      </c>
      <c r="G4" s="23">
        <f t="shared" si="0"/>
        <v>208</v>
      </c>
      <c r="H4" s="22" t="str">
        <f t="shared" si="1"/>
        <v>D</v>
      </c>
      <c r="I4" s="22" t="str">
        <f t="shared" si="2"/>
        <v>NO</v>
      </c>
      <c r="P4" s="22">
        <v>1003</v>
      </c>
      <c r="Q4" s="22" t="str">
        <v>Student 3</v>
      </c>
      <c r="R4" s="22">
        <v>97</v>
      </c>
      <c r="S4" s="22">
        <v>60</v>
      </c>
      <c r="T4" s="22">
        <v>51</v>
      </c>
      <c r="U4" s="22">
        <v>43461</v>
      </c>
    </row>
    <row r="5" spans="1:21" ht="30.75" thickBot="1">
      <c r="A5" s="18">
        <v>1004</v>
      </c>
      <c r="B5" s="12" t="s">
        <v>9</v>
      </c>
      <c r="C5" s="15">
        <v>74</v>
      </c>
      <c r="D5" s="15">
        <v>55</v>
      </c>
      <c r="E5" s="15">
        <v>46</v>
      </c>
      <c r="F5" s="20">
        <v>43641</v>
      </c>
      <c r="G5" s="23">
        <f t="shared" si="0"/>
        <v>175</v>
      </c>
      <c r="H5" s="22" t="str">
        <f t="shared" si="1"/>
        <v>FAIL</v>
      </c>
      <c r="I5" s="22" t="str">
        <f t="shared" si="2"/>
        <v>NO</v>
      </c>
      <c r="P5" s="22">
        <v>1004</v>
      </c>
      <c r="Q5" s="22" t="str">
        <v>Student 4</v>
      </c>
      <c r="R5" s="22">
        <v>74</v>
      </c>
      <c r="S5" s="22">
        <v>55</v>
      </c>
      <c r="T5" s="22">
        <v>46</v>
      </c>
      <c r="U5" s="22">
        <v>43641</v>
      </c>
    </row>
    <row r="6" spans="1:21" ht="30.75" thickBot="1">
      <c r="A6" s="18">
        <v>1005</v>
      </c>
      <c r="B6" s="12" t="s">
        <v>10</v>
      </c>
      <c r="C6" s="15">
        <v>68</v>
      </c>
      <c r="D6" s="15">
        <v>74</v>
      </c>
      <c r="E6" s="15">
        <v>84</v>
      </c>
      <c r="F6" s="20">
        <v>43821</v>
      </c>
      <c r="G6" s="23">
        <f t="shared" si="0"/>
        <v>226</v>
      </c>
      <c r="H6" s="22" t="str">
        <f t="shared" si="1"/>
        <v>C</v>
      </c>
      <c r="I6" s="22" t="str">
        <f t="shared" si="2"/>
        <v>NO</v>
      </c>
      <c r="P6" s="22">
        <v>1005</v>
      </c>
      <c r="Q6" s="22" t="str">
        <v>Student 5</v>
      </c>
      <c r="R6" s="22">
        <v>68</v>
      </c>
      <c r="S6" s="22">
        <v>74</v>
      </c>
      <c r="T6" s="22">
        <v>84</v>
      </c>
      <c r="U6" s="22">
        <v>43821</v>
      </c>
    </row>
    <row r="7" spans="1:21" ht="30.75" thickBot="1">
      <c r="A7" s="18">
        <v>1006</v>
      </c>
      <c r="B7" s="12" t="s">
        <v>11</v>
      </c>
      <c r="C7" s="15">
        <v>80</v>
      </c>
      <c r="D7" s="15">
        <v>70</v>
      </c>
      <c r="E7" s="15">
        <v>65</v>
      </c>
      <c r="F7" s="20">
        <v>44001</v>
      </c>
      <c r="G7" s="23">
        <f t="shared" si="0"/>
        <v>215</v>
      </c>
      <c r="H7" s="22" t="str">
        <f t="shared" si="1"/>
        <v>C</v>
      </c>
      <c r="I7" s="22" t="str">
        <f t="shared" si="2"/>
        <v>NO</v>
      </c>
      <c r="P7" s="22">
        <v>1006</v>
      </c>
      <c r="Q7" s="22" t="str">
        <v>Student 6</v>
      </c>
      <c r="R7" s="22">
        <v>80</v>
      </c>
      <c r="S7" s="22">
        <v>70</v>
      </c>
      <c r="T7" s="22">
        <v>65</v>
      </c>
      <c r="U7" s="22">
        <v>44001</v>
      </c>
    </row>
    <row r="8" spans="1:21" ht="30.75" thickBot="1">
      <c r="A8" s="18">
        <v>1007</v>
      </c>
      <c r="B8" s="12" t="s">
        <v>12</v>
      </c>
      <c r="C8" s="15">
        <v>75</v>
      </c>
      <c r="D8" s="15">
        <v>47</v>
      </c>
      <c r="E8" s="15">
        <v>78</v>
      </c>
      <c r="F8" s="20">
        <v>44181</v>
      </c>
      <c r="G8" s="23">
        <f t="shared" si="0"/>
        <v>200</v>
      </c>
      <c r="H8" s="22" t="str">
        <f t="shared" si="1"/>
        <v>D</v>
      </c>
      <c r="I8" s="22" t="str">
        <f t="shared" si="2"/>
        <v>NO</v>
      </c>
      <c r="P8" s="22">
        <v>1007</v>
      </c>
      <c r="Q8" s="22" t="str">
        <v>Student 7</v>
      </c>
      <c r="R8" s="22">
        <v>75</v>
      </c>
      <c r="S8" s="22">
        <v>47</v>
      </c>
      <c r="T8" s="22">
        <v>78</v>
      </c>
      <c r="U8" s="22">
        <v>44181</v>
      </c>
    </row>
    <row r="9" spans="1:21" ht="30.75" thickBot="1">
      <c r="A9" s="18">
        <v>1008</v>
      </c>
      <c r="B9" s="12" t="s">
        <v>13</v>
      </c>
      <c r="C9" s="15">
        <v>94</v>
      </c>
      <c r="D9" s="15">
        <v>67</v>
      </c>
      <c r="E9" s="15">
        <v>64</v>
      </c>
      <c r="F9" s="20">
        <v>44361</v>
      </c>
      <c r="G9" s="23">
        <f t="shared" si="0"/>
        <v>225</v>
      </c>
      <c r="H9" s="22" t="str">
        <f t="shared" si="1"/>
        <v>C</v>
      </c>
      <c r="I9" s="22" t="str">
        <f t="shared" si="2"/>
        <v>NO</v>
      </c>
      <c r="P9" s="22">
        <v>1008</v>
      </c>
      <c r="Q9" s="22" t="str">
        <v>Student 8</v>
      </c>
      <c r="R9" s="22">
        <v>94</v>
      </c>
      <c r="S9" s="22">
        <v>67</v>
      </c>
      <c r="T9" s="22">
        <v>64</v>
      </c>
      <c r="U9" s="22">
        <v>44361</v>
      </c>
    </row>
    <row r="10" spans="1:21" ht="30.75" thickBot="1">
      <c r="A10" s="18">
        <v>1009</v>
      </c>
      <c r="B10" s="12" t="s">
        <v>14</v>
      </c>
      <c r="C10" s="15">
        <v>41</v>
      </c>
      <c r="D10" s="15">
        <v>75</v>
      </c>
      <c r="E10" s="15">
        <v>56</v>
      </c>
      <c r="F10" s="20">
        <v>44541</v>
      </c>
      <c r="G10" s="23">
        <f t="shared" si="0"/>
        <v>172</v>
      </c>
      <c r="H10" s="22" t="str">
        <f t="shared" si="1"/>
        <v>FAIL</v>
      </c>
      <c r="I10" s="22" t="str">
        <f t="shared" si="2"/>
        <v>NO</v>
      </c>
      <c r="P10" s="22">
        <v>1009</v>
      </c>
      <c r="Q10" s="22" t="str">
        <v>Student 9</v>
      </c>
      <c r="R10" s="22">
        <v>41</v>
      </c>
      <c r="S10" s="22">
        <v>75</v>
      </c>
      <c r="T10" s="22">
        <v>56</v>
      </c>
      <c r="U10" s="22">
        <v>44541</v>
      </c>
    </row>
    <row r="11" spans="1:21" ht="30.75" thickBot="1">
      <c r="A11" s="18">
        <v>1010</v>
      </c>
      <c r="B11" s="12" t="s">
        <v>15</v>
      </c>
      <c r="C11" s="15">
        <v>98</v>
      </c>
      <c r="D11" s="15">
        <v>54</v>
      </c>
      <c r="E11" s="15">
        <v>58</v>
      </c>
      <c r="F11" s="20">
        <v>44721</v>
      </c>
      <c r="G11" s="23">
        <f t="shared" si="0"/>
        <v>210</v>
      </c>
      <c r="H11" s="22" t="str">
        <f t="shared" si="1"/>
        <v>C</v>
      </c>
      <c r="I11" s="22" t="str">
        <f t="shared" si="2"/>
        <v>NO</v>
      </c>
      <c r="P11" s="22">
        <v>1010</v>
      </c>
      <c r="Q11" s="22" t="str">
        <v>Student 10</v>
      </c>
      <c r="R11" s="22">
        <v>98</v>
      </c>
      <c r="S11" s="22">
        <v>54</v>
      </c>
      <c r="T11" s="22">
        <v>58</v>
      </c>
      <c r="U11" s="22">
        <v>44721</v>
      </c>
    </row>
    <row r="12" spans="1:21" ht="30.75" thickBot="1">
      <c r="A12" s="18">
        <v>1011</v>
      </c>
      <c r="B12" s="12" t="s">
        <v>16</v>
      </c>
      <c r="C12" s="15">
        <v>73</v>
      </c>
      <c r="D12" s="15">
        <v>79</v>
      </c>
      <c r="E12" s="15">
        <v>53</v>
      </c>
      <c r="F12" s="20">
        <v>44901</v>
      </c>
      <c r="G12" s="23">
        <f t="shared" si="0"/>
        <v>205</v>
      </c>
      <c r="H12" s="22" t="str">
        <f t="shared" si="1"/>
        <v>D</v>
      </c>
      <c r="I12" s="22" t="str">
        <f t="shared" si="2"/>
        <v>NO</v>
      </c>
      <c r="P12" s="22">
        <v>1011</v>
      </c>
      <c r="Q12" s="22" t="str">
        <v>Student 11</v>
      </c>
      <c r="R12" s="22">
        <v>73</v>
      </c>
      <c r="S12" s="22">
        <v>79</v>
      </c>
      <c r="T12" s="22">
        <v>53</v>
      </c>
      <c r="U12" s="22">
        <v>44901</v>
      </c>
    </row>
    <row r="13" spans="1:21" ht="30.75" thickBot="1">
      <c r="A13" s="18">
        <v>1012</v>
      </c>
      <c r="B13" s="12" t="s">
        <v>17</v>
      </c>
      <c r="C13" s="15">
        <v>85</v>
      </c>
      <c r="D13" s="15">
        <v>89</v>
      </c>
      <c r="E13" s="15">
        <v>79</v>
      </c>
      <c r="F13" s="20">
        <v>45081</v>
      </c>
      <c r="G13" s="23">
        <f t="shared" si="0"/>
        <v>253</v>
      </c>
      <c r="H13" s="22" t="str">
        <f t="shared" si="1"/>
        <v>B</v>
      </c>
      <c r="I13" s="22" t="str">
        <f t="shared" si="2"/>
        <v>YES</v>
      </c>
      <c r="P13">
        <v>1012</v>
      </c>
      <c r="Q13" t="str">
        <v>Student 12</v>
      </c>
      <c r="R13">
        <v>85</v>
      </c>
      <c r="S13">
        <v>89</v>
      </c>
      <c r="T13">
        <v>79</v>
      </c>
      <c r="U13">
        <v>45081</v>
      </c>
    </row>
    <row r="14" spans="1:21" ht="30.75" thickBot="1">
      <c r="A14" s="18">
        <v>1013</v>
      </c>
      <c r="B14" s="12" t="s">
        <v>18</v>
      </c>
      <c r="C14" s="15">
        <v>98</v>
      </c>
      <c r="D14" s="15">
        <v>90</v>
      </c>
      <c r="E14" s="15">
        <v>97</v>
      </c>
      <c r="F14" s="20">
        <v>45261</v>
      </c>
      <c r="G14" s="23">
        <f t="shared" si="0"/>
        <v>285</v>
      </c>
      <c r="H14" s="22" t="str">
        <f t="shared" si="1"/>
        <v>A</v>
      </c>
      <c r="I14" s="22" t="str">
        <f t="shared" si="2"/>
        <v>YES</v>
      </c>
      <c r="P14">
        <v>1013</v>
      </c>
      <c r="Q14" t="str">
        <v>Student 13</v>
      </c>
      <c r="R14">
        <v>98</v>
      </c>
      <c r="S14">
        <v>90</v>
      </c>
      <c r="T14">
        <v>97</v>
      </c>
      <c r="U14">
        <v>45261</v>
      </c>
    </row>
    <row r="15" spans="1:21" ht="30.75" thickBot="1">
      <c r="A15" s="18">
        <v>1014</v>
      </c>
      <c r="B15" s="12" t="s">
        <v>19</v>
      </c>
      <c r="C15" s="15">
        <v>93</v>
      </c>
      <c r="D15" s="15">
        <v>40</v>
      </c>
      <c r="E15" s="15">
        <v>44</v>
      </c>
      <c r="F15" s="20">
        <v>45441</v>
      </c>
      <c r="G15" s="23">
        <f t="shared" si="0"/>
        <v>177</v>
      </c>
      <c r="H15" s="22" t="str">
        <f t="shared" si="1"/>
        <v>FAIL</v>
      </c>
      <c r="I15" s="22" t="str">
        <f t="shared" si="2"/>
        <v>NO</v>
      </c>
      <c r="P15">
        <v>1014</v>
      </c>
      <c r="Q15" t="str">
        <v>Student 14</v>
      </c>
      <c r="R15">
        <v>93</v>
      </c>
      <c r="S15">
        <v>40</v>
      </c>
      <c r="T15">
        <v>44</v>
      </c>
      <c r="U15">
        <v>45441</v>
      </c>
    </row>
    <row r="16" spans="1:21" ht="30.75" thickBot="1">
      <c r="A16" s="18">
        <v>1015</v>
      </c>
      <c r="B16" s="12" t="s">
        <v>20</v>
      </c>
      <c r="C16" s="15">
        <v>70</v>
      </c>
      <c r="D16" s="15">
        <v>51</v>
      </c>
      <c r="E16" s="15">
        <v>75</v>
      </c>
      <c r="F16" s="20">
        <v>45621</v>
      </c>
      <c r="G16" s="23">
        <f t="shared" si="0"/>
        <v>196</v>
      </c>
      <c r="H16" s="22" t="str">
        <f t="shared" si="1"/>
        <v>D</v>
      </c>
      <c r="I16" s="22" t="str">
        <f t="shared" si="2"/>
        <v>NO</v>
      </c>
      <c r="P16">
        <v>1015</v>
      </c>
      <c r="Q16" t="str">
        <v>Student 15</v>
      </c>
      <c r="R16">
        <v>70</v>
      </c>
      <c r="S16">
        <v>51</v>
      </c>
      <c r="T16">
        <v>75</v>
      </c>
      <c r="U16">
        <v>45621</v>
      </c>
    </row>
    <row r="17" spans="1:21" ht="30.75" thickBot="1">
      <c r="A17" s="18">
        <v>1016</v>
      </c>
      <c r="B17" s="12" t="s">
        <v>21</v>
      </c>
      <c r="C17" s="15">
        <v>98</v>
      </c>
      <c r="D17" s="15">
        <v>77</v>
      </c>
      <c r="E17" s="15">
        <v>60</v>
      </c>
      <c r="F17" s="20">
        <v>45801</v>
      </c>
      <c r="G17" s="23">
        <f t="shared" si="0"/>
        <v>235</v>
      </c>
      <c r="H17" s="22" t="str">
        <f t="shared" si="1"/>
        <v>C</v>
      </c>
      <c r="I17" s="22" t="str">
        <f t="shared" si="2"/>
        <v>NO</v>
      </c>
      <c r="P17">
        <v>1016</v>
      </c>
      <c r="Q17" t="str">
        <v>Student 16</v>
      </c>
      <c r="R17">
        <v>98</v>
      </c>
      <c r="S17">
        <v>77</v>
      </c>
      <c r="T17">
        <v>60</v>
      </c>
      <c r="U17">
        <v>45801</v>
      </c>
    </row>
    <row r="18" spans="1:21" ht="30.75" thickBot="1">
      <c r="A18" s="18">
        <v>1017</v>
      </c>
      <c r="B18" s="12" t="s">
        <v>22</v>
      </c>
      <c r="C18" s="15">
        <v>66</v>
      </c>
      <c r="D18" s="15">
        <v>59</v>
      </c>
      <c r="E18" s="15">
        <v>40</v>
      </c>
      <c r="F18" s="20">
        <v>45981</v>
      </c>
      <c r="G18" s="23">
        <f t="shared" si="0"/>
        <v>165</v>
      </c>
      <c r="H18" s="22" t="str">
        <f t="shared" si="1"/>
        <v>FAIL</v>
      </c>
      <c r="I18" s="22" t="str">
        <f t="shared" si="2"/>
        <v>NO</v>
      </c>
      <c r="P18">
        <v>1017</v>
      </c>
      <c r="Q18" t="str">
        <v>Student 17</v>
      </c>
      <c r="R18">
        <v>66</v>
      </c>
      <c r="S18">
        <v>59</v>
      </c>
      <c r="T18">
        <v>40</v>
      </c>
      <c r="U18">
        <v>45981</v>
      </c>
    </row>
    <row r="19" spans="1:21" ht="30.75" thickBot="1">
      <c r="A19" s="18">
        <v>1018</v>
      </c>
      <c r="B19" s="12" t="s">
        <v>23</v>
      </c>
      <c r="C19" s="15">
        <v>82</v>
      </c>
      <c r="D19" s="15">
        <v>48</v>
      </c>
      <c r="E19" s="15">
        <v>79</v>
      </c>
      <c r="F19" s="20">
        <v>46161</v>
      </c>
      <c r="G19" s="23">
        <f t="shared" si="0"/>
        <v>209</v>
      </c>
      <c r="H19" s="22" t="str">
        <f t="shared" si="1"/>
        <v>D</v>
      </c>
      <c r="I19" s="22" t="str">
        <f t="shared" si="2"/>
        <v>NO</v>
      </c>
      <c r="P19">
        <v>1018</v>
      </c>
      <c r="Q19" t="str">
        <v>Student 18</v>
      </c>
      <c r="R19">
        <v>82</v>
      </c>
      <c r="S19">
        <v>48</v>
      </c>
      <c r="T19">
        <v>79</v>
      </c>
      <c r="U19">
        <v>46161</v>
      </c>
    </row>
    <row r="20" spans="1:21" ht="30.75" thickBot="1">
      <c r="A20" s="18">
        <v>1019</v>
      </c>
      <c r="B20" s="12" t="s">
        <v>24</v>
      </c>
      <c r="C20" s="15">
        <v>90</v>
      </c>
      <c r="D20" s="15">
        <v>78</v>
      </c>
      <c r="E20" s="15">
        <v>60</v>
      </c>
      <c r="F20" s="20">
        <v>46341</v>
      </c>
      <c r="G20" s="23">
        <f t="shared" si="0"/>
        <v>228</v>
      </c>
      <c r="H20" s="22" t="str">
        <f t="shared" si="1"/>
        <v>C</v>
      </c>
      <c r="I20" s="22" t="str">
        <f t="shared" si="2"/>
        <v>NO</v>
      </c>
      <c r="P20">
        <v>1019</v>
      </c>
      <c r="Q20" t="str">
        <v>Student 19</v>
      </c>
      <c r="R20">
        <v>90</v>
      </c>
      <c r="S20">
        <v>78</v>
      </c>
      <c r="T20">
        <v>60</v>
      </c>
      <c r="U20">
        <v>46341</v>
      </c>
    </row>
    <row r="21" spans="1:21" ht="30.75" thickBot="1">
      <c r="A21" s="18">
        <v>1020</v>
      </c>
      <c r="B21" s="12" t="s">
        <v>25</v>
      </c>
      <c r="C21" s="15">
        <v>83</v>
      </c>
      <c r="D21" s="15">
        <v>92</v>
      </c>
      <c r="E21" s="15">
        <v>55</v>
      </c>
      <c r="F21" s="20">
        <v>46521</v>
      </c>
      <c r="G21" s="23">
        <f t="shared" si="0"/>
        <v>230</v>
      </c>
      <c r="H21" s="22" t="str">
        <f t="shared" si="1"/>
        <v>C</v>
      </c>
      <c r="I21" s="22" t="str">
        <f t="shared" si="2"/>
        <v>YES</v>
      </c>
    </row>
  </sheetData>
  <mergeCells count="3">
    <mergeCell ref="P1:U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3FEA-2857-4314-BF06-35195790D954}">
  <dimension ref="A1:M21"/>
  <sheetViews>
    <sheetView workbookViewId="0">
      <selection activeCell="J3" sqref="J3"/>
    </sheetView>
  </sheetViews>
  <sheetFormatPr defaultRowHeight="15"/>
  <cols>
    <col min="2" max="2" width="8.7109375" bestFit="1" customWidth="1"/>
    <col min="3" max="3" width="9" style="13" bestFit="1" customWidth="1"/>
    <col min="4" max="4" width="12.85546875" style="11" bestFit="1" customWidth="1"/>
    <col min="5" max="5" width="15.5703125" style="9" bestFit="1" customWidth="1"/>
    <col min="7" max="7" width="12.5703125" bestFit="1" customWidth="1"/>
    <col min="11" max="11" width="15.28515625" bestFit="1" customWidth="1"/>
    <col min="12" max="12" width="9.7109375" bestFit="1" customWidth="1"/>
    <col min="13" max="13" width="19.42578125" style="9" bestFit="1" customWidth="1"/>
  </cols>
  <sheetData>
    <row r="1" spans="1:13" ht="30.75" thickBot="1">
      <c r="A1" s="3" t="s">
        <v>60</v>
      </c>
      <c r="B1" s="4" t="s">
        <v>1</v>
      </c>
      <c r="C1" s="4" t="s">
        <v>61</v>
      </c>
      <c r="D1" s="5" t="s">
        <v>62</v>
      </c>
      <c r="E1" s="19" t="s">
        <v>63</v>
      </c>
      <c r="F1" s="27" t="s">
        <v>96</v>
      </c>
      <c r="G1" s="48" t="s">
        <v>97</v>
      </c>
      <c r="H1" s="50" t="s">
        <v>100</v>
      </c>
      <c r="I1" s="47"/>
      <c r="J1" s="34" t="s">
        <v>103</v>
      </c>
      <c r="K1" s="51" t="s">
        <v>104</v>
      </c>
    </row>
    <row r="2" spans="1:13" ht="30.75" thickBot="1">
      <c r="A2" s="1">
        <v>3001</v>
      </c>
      <c r="B2" s="2" t="s">
        <v>64</v>
      </c>
      <c r="C2" s="12" t="s">
        <v>65</v>
      </c>
      <c r="D2" s="10">
        <v>86766</v>
      </c>
      <c r="E2" s="20">
        <v>42005</v>
      </c>
      <c r="F2" s="27" t="str">
        <f>LEFT(B2, FIND(" ", B2)-1)</f>
        <v>Employee</v>
      </c>
      <c r="G2" s="48" t="str">
        <f>UPPER(B2)</f>
        <v>EMPLOYEE 1</v>
      </c>
      <c r="H2" s="26" t="s">
        <v>101</v>
      </c>
      <c r="I2" s="46">
        <f ca="1">SUM(INDIRECT(H2))</f>
        <v>292055</v>
      </c>
      <c r="J2" s="26">
        <f ca="1">SUM(OFFSET(D2,0,0,3,1))</f>
        <v>182083</v>
      </c>
      <c r="K2" s="49">
        <f ca="1">DATEDIF(E2, TODAY(), "D")</f>
        <v>4082</v>
      </c>
    </row>
    <row r="3" spans="1:13" ht="30.75" thickBot="1">
      <c r="A3" s="1">
        <v>3002</v>
      </c>
      <c r="B3" s="2" t="s">
        <v>66</v>
      </c>
      <c r="C3" s="12" t="s">
        <v>65</v>
      </c>
      <c r="D3" s="10">
        <v>31943</v>
      </c>
      <c r="E3" s="20">
        <v>42255</v>
      </c>
      <c r="F3" s="27" t="str">
        <f t="shared" ref="F3:F21" si="0">LEFT(B3, FIND(" ", B3)-1)</f>
        <v>Employee</v>
      </c>
      <c r="G3" s="27" t="str">
        <f t="shared" ref="G3:G21" si="1">UPPER(B3)</f>
        <v>EMPLOYEE 2</v>
      </c>
      <c r="H3" s="41"/>
      <c r="I3" s="41"/>
      <c r="J3" s="41"/>
      <c r="L3" s="36" t="s">
        <v>114</v>
      </c>
      <c r="M3" s="44"/>
    </row>
    <row r="4" spans="1:13" ht="30.75" thickBot="1">
      <c r="A4" s="1">
        <v>3003</v>
      </c>
      <c r="B4" s="2" t="s">
        <v>67</v>
      </c>
      <c r="C4" s="12" t="s">
        <v>68</v>
      </c>
      <c r="D4" s="10">
        <v>63374</v>
      </c>
      <c r="E4" s="20">
        <v>42505</v>
      </c>
      <c r="F4" s="27" t="str">
        <f t="shared" si="0"/>
        <v>Employee</v>
      </c>
      <c r="G4" s="27" t="str">
        <f t="shared" si="1"/>
        <v>EMPLOYEE 3</v>
      </c>
      <c r="L4" s="42" t="s">
        <v>117</v>
      </c>
      <c r="M4" s="45" t="s">
        <v>116</v>
      </c>
    </row>
    <row r="5" spans="1:13" ht="30.75" thickBot="1">
      <c r="A5" s="1">
        <v>3004</v>
      </c>
      <c r="B5" s="2" t="s">
        <v>69</v>
      </c>
      <c r="C5" s="12" t="s">
        <v>65</v>
      </c>
      <c r="D5" s="10">
        <v>109972</v>
      </c>
      <c r="E5" s="20">
        <v>42755</v>
      </c>
      <c r="F5" s="27" t="str">
        <f t="shared" si="0"/>
        <v>Employee</v>
      </c>
      <c r="G5" s="27" t="str">
        <f t="shared" si="1"/>
        <v>EMPLOYEE 4</v>
      </c>
      <c r="L5" s="22">
        <v>3001</v>
      </c>
      <c r="M5" s="43">
        <f>_xlfn.XLOOKUP(L5,A:A,E:E)</f>
        <v>42005</v>
      </c>
    </row>
    <row r="6" spans="1:13" ht="30.75" thickBot="1">
      <c r="A6" s="1">
        <v>3005</v>
      </c>
      <c r="B6" s="2" t="s">
        <v>70</v>
      </c>
      <c r="C6" s="12" t="s">
        <v>71</v>
      </c>
      <c r="D6" s="10">
        <v>54149</v>
      </c>
      <c r="E6" s="20">
        <v>43005</v>
      </c>
      <c r="F6" s="27" t="str">
        <f t="shared" si="0"/>
        <v>Employee</v>
      </c>
      <c r="G6" s="27" t="str">
        <f t="shared" si="1"/>
        <v>EMPLOYEE 5</v>
      </c>
    </row>
    <row r="7" spans="1:13" ht="30.75" thickBot="1">
      <c r="A7" s="1">
        <v>3006</v>
      </c>
      <c r="B7" s="2" t="s">
        <v>72</v>
      </c>
      <c r="C7" s="12" t="s">
        <v>71</v>
      </c>
      <c r="D7" s="10">
        <v>78689</v>
      </c>
      <c r="E7" s="20">
        <v>43255</v>
      </c>
      <c r="F7" s="27" t="str">
        <f t="shared" si="0"/>
        <v>Employee</v>
      </c>
      <c r="G7" s="27" t="str">
        <f t="shared" si="1"/>
        <v>EMPLOYEE 6</v>
      </c>
    </row>
    <row r="8" spans="1:13" ht="30.75" thickBot="1">
      <c r="A8" s="1">
        <v>3007</v>
      </c>
      <c r="B8" s="2" t="s">
        <v>73</v>
      </c>
      <c r="C8" s="12" t="s">
        <v>74</v>
      </c>
      <c r="D8" s="10">
        <v>35960</v>
      </c>
      <c r="E8" s="20">
        <v>43505</v>
      </c>
      <c r="F8" s="27" t="str">
        <f t="shared" si="0"/>
        <v>Employee</v>
      </c>
      <c r="G8" s="27" t="str">
        <f t="shared" si="1"/>
        <v>EMPLOYEE 7</v>
      </c>
    </row>
    <row r="9" spans="1:13" ht="30.75" thickBot="1">
      <c r="A9" s="1">
        <v>3008</v>
      </c>
      <c r="B9" s="2" t="s">
        <v>75</v>
      </c>
      <c r="C9" s="12" t="s">
        <v>71</v>
      </c>
      <c r="D9" s="10">
        <v>91659</v>
      </c>
      <c r="E9" s="20">
        <v>43755</v>
      </c>
      <c r="F9" s="27" t="str">
        <f t="shared" si="0"/>
        <v>Employee</v>
      </c>
      <c r="G9" s="27" t="str">
        <f t="shared" si="1"/>
        <v>EMPLOYEE 8</v>
      </c>
    </row>
    <row r="10" spans="1:13" ht="30.75" thickBot="1">
      <c r="A10" s="1">
        <v>3009</v>
      </c>
      <c r="B10" s="2" t="s">
        <v>76</v>
      </c>
      <c r="C10" s="12" t="s">
        <v>71</v>
      </c>
      <c r="D10" s="10">
        <v>90423</v>
      </c>
      <c r="E10" s="20">
        <v>44005</v>
      </c>
      <c r="F10" s="27" t="str">
        <f t="shared" si="0"/>
        <v>Employee</v>
      </c>
      <c r="G10" s="27" t="str">
        <f t="shared" si="1"/>
        <v>EMPLOYEE 9</v>
      </c>
    </row>
    <row r="11" spans="1:13" ht="30.75" thickBot="1">
      <c r="A11" s="1">
        <v>3010</v>
      </c>
      <c r="B11" s="2" t="s">
        <v>77</v>
      </c>
      <c r="C11" s="12" t="s">
        <v>68</v>
      </c>
      <c r="D11" s="10">
        <v>107877</v>
      </c>
      <c r="E11" s="20">
        <v>44255</v>
      </c>
      <c r="F11" s="27" t="str">
        <f t="shared" si="0"/>
        <v>Employee</v>
      </c>
      <c r="G11" s="27" t="str">
        <f t="shared" si="1"/>
        <v>EMPLOYEE 10</v>
      </c>
    </row>
    <row r="12" spans="1:13" ht="30.75" thickBot="1">
      <c r="A12" s="1">
        <v>3011</v>
      </c>
      <c r="B12" s="2" t="s">
        <v>78</v>
      </c>
      <c r="C12" s="12" t="s">
        <v>65</v>
      </c>
      <c r="D12" s="10">
        <v>107634</v>
      </c>
      <c r="E12" s="20">
        <v>44505</v>
      </c>
      <c r="F12" s="27" t="str">
        <f t="shared" si="0"/>
        <v>Employee</v>
      </c>
      <c r="G12" s="27" t="str">
        <f t="shared" si="1"/>
        <v>EMPLOYEE 11</v>
      </c>
    </row>
    <row r="13" spans="1:13" ht="30.75" thickBot="1">
      <c r="A13" s="1">
        <v>3012</v>
      </c>
      <c r="B13" s="2" t="s">
        <v>79</v>
      </c>
      <c r="C13" s="12" t="s">
        <v>65</v>
      </c>
      <c r="D13" s="10">
        <v>35226</v>
      </c>
      <c r="E13" s="20">
        <v>44755</v>
      </c>
      <c r="F13" s="27" t="str">
        <f t="shared" si="0"/>
        <v>Employee</v>
      </c>
      <c r="G13" s="27" t="str">
        <f t="shared" si="1"/>
        <v>EMPLOYEE 12</v>
      </c>
    </row>
    <row r="14" spans="1:13" ht="30.75" thickBot="1">
      <c r="A14" s="1">
        <v>3013</v>
      </c>
      <c r="B14" s="2" t="s">
        <v>80</v>
      </c>
      <c r="C14" s="12" t="s">
        <v>68</v>
      </c>
      <c r="D14" s="10">
        <v>40872</v>
      </c>
      <c r="E14" s="20">
        <v>45005</v>
      </c>
      <c r="F14" s="27" t="str">
        <f t="shared" si="0"/>
        <v>Employee</v>
      </c>
      <c r="G14" s="27" t="str">
        <f t="shared" si="1"/>
        <v>EMPLOYEE 13</v>
      </c>
    </row>
    <row r="15" spans="1:13" ht="30.75" thickBot="1">
      <c r="A15" s="1">
        <v>3014</v>
      </c>
      <c r="B15" s="2" t="s">
        <v>81</v>
      </c>
      <c r="C15" s="12" t="s">
        <v>68</v>
      </c>
      <c r="D15" s="10">
        <v>55378</v>
      </c>
      <c r="E15" s="20">
        <v>45255</v>
      </c>
      <c r="F15" s="27" t="str">
        <f t="shared" si="0"/>
        <v>Employee</v>
      </c>
      <c r="G15" s="27" t="str">
        <f t="shared" si="1"/>
        <v>EMPLOYEE 14</v>
      </c>
    </row>
    <row r="16" spans="1:13" ht="30.75" thickBot="1">
      <c r="A16" s="1">
        <v>3015</v>
      </c>
      <c r="B16" s="2" t="s">
        <v>82</v>
      </c>
      <c r="C16" s="12" t="s">
        <v>68</v>
      </c>
      <c r="D16" s="10">
        <v>63297</v>
      </c>
      <c r="E16" s="20">
        <v>45505</v>
      </c>
      <c r="F16" s="27" t="str">
        <f t="shared" si="0"/>
        <v>Employee</v>
      </c>
      <c r="G16" s="27" t="str">
        <f t="shared" si="1"/>
        <v>EMPLOYEE 15</v>
      </c>
    </row>
    <row r="17" spans="1:7" ht="30.75" thickBot="1">
      <c r="A17" s="1">
        <v>3016</v>
      </c>
      <c r="B17" s="2" t="s">
        <v>83</v>
      </c>
      <c r="C17" s="12" t="s">
        <v>65</v>
      </c>
      <c r="D17" s="10">
        <v>114173</v>
      </c>
      <c r="E17" s="20">
        <v>45755</v>
      </c>
      <c r="F17" s="27" t="str">
        <f t="shared" si="0"/>
        <v>Employee</v>
      </c>
      <c r="G17" s="27" t="str">
        <f t="shared" si="1"/>
        <v>EMPLOYEE 16</v>
      </c>
    </row>
    <row r="18" spans="1:7" ht="30.75" thickBot="1">
      <c r="A18" s="1">
        <v>3017</v>
      </c>
      <c r="B18" s="2" t="s">
        <v>84</v>
      </c>
      <c r="C18" s="12" t="s">
        <v>68</v>
      </c>
      <c r="D18" s="10">
        <v>86915</v>
      </c>
      <c r="E18" s="20">
        <v>46005</v>
      </c>
      <c r="F18" s="27" t="str">
        <f t="shared" si="0"/>
        <v>Employee</v>
      </c>
      <c r="G18" s="27" t="str">
        <f t="shared" si="1"/>
        <v>EMPLOYEE 17</v>
      </c>
    </row>
    <row r="19" spans="1:7" ht="30.75" thickBot="1">
      <c r="A19" s="1">
        <v>3018</v>
      </c>
      <c r="B19" s="2" t="s">
        <v>85</v>
      </c>
      <c r="C19" s="12" t="s">
        <v>71</v>
      </c>
      <c r="D19" s="10">
        <v>116284</v>
      </c>
      <c r="E19" s="20">
        <v>46255</v>
      </c>
      <c r="F19" s="27" t="str">
        <f t="shared" si="0"/>
        <v>Employee</v>
      </c>
      <c r="G19" s="27" t="str">
        <f t="shared" si="1"/>
        <v>EMPLOYEE 18</v>
      </c>
    </row>
    <row r="20" spans="1:7" ht="30.75" thickBot="1">
      <c r="A20" s="1">
        <v>3019</v>
      </c>
      <c r="B20" s="2" t="s">
        <v>86</v>
      </c>
      <c r="C20" s="12" t="s">
        <v>74</v>
      </c>
      <c r="D20" s="10">
        <v>116283</v>
      </c>
      <c r="E20" s="20">
        <v>46505</v>
      </c>
      <c r="F20" s="27" t="str">
        <f t="shared" si="0"/>
        <v>Employee</v>
      </c>
      <c r="G20" s="27" t="str">
        <f t="shared" si="1"/>
        <v>EMPLOYEE 19</v>
      </c>
    </row>
    <row r="21" spans="1:7" ht="30.75" thickBot="1">
      <c r="A21" s="1">
        <v>3020</v>
      </c>
      <c r="B21" s="2" t="s">
        <v>87</v>
      </c>
      <c r="C21" s="12" t="s">
        <v>74</v>
      </c>
      <c r="D21" s="10">
        <v>99924</v>
      </c>
      <c r="E21" s="20">
        <v>46755</v>
      </c>
      <c r="F21" s="27" t="str">
        <f t="shared" si="0"/>
        <v>Employee</v>
      </c>
      <c r="G21" s="27" t="str">
        <f t="shared" si="1"/>
        <v>EMPLOYEE 20</v>
      </c>
    </row>
  </sheetData>
  <mergeCells count="2">
    <mergeCell ref="L3:M3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30CD-7D6D-4B60-8F8F-ACBC324B7BBE}">
  <dimension ref="A1:P21"/>
  <sheetViews>
    <sheetView workbookViewId="0">
      <selection activeCell="M7" sqref="M7:N7"/>
    </sheetView>
  </sheetViews>
  <sheetFormatPr defaultRowHeight="15"/>
  <cols>
    <col min="5" max="5" width="12.140625" style="8" bestFit="1" customWidth="1"/>
    <col min="6" max="6" width="16.140625" style="9" bestFit="1" customWidth="1"/>
    <col min="10" max="10" width="7.28515625" bestFit="1" customWidth="1"/>
    <col min="11" max="11" width="12.140625" bestFit="1" customWidth="1"/>
    <col min="13" max="13" width="19.5703125" bestFit="1" customWidth="1"/>
    <col min="14" max="14" width="12.140625" bestFit="1" customWidth="1"/>
  </cols>
  <sheetData>
    <row r="1" spans="1:16" ht="75.75" thickBot="1">
      <c r="A1" s="3"/>
      <c r="B1" s="4" t="s">
        <v>26</v>
      </c>
      <c r="C1" s="4" t="s">
        <v>27</v>
      </c>
      <c r="D1" s="4" t="s">
        <v>28</v>
      </c>
      <c r="E1" s="6" t="s">
        <v>29</v>
      </c>
      <c r="F1" s="19" t="s">
        <v>30</v>
      </c>
      <c r="G1" s="28" t="s">
        <v>90</v>
      </c>
      <c r="H1" s="28" t="s">
        <v>92</v>
      </c>
      <c r="I1" s="29" t="s">
        <v>93</v>
      </c>
      <c r="J1" s="28"/>
      <c r="K1" s="28" t="s">
        <v>98</v>
      </c>
      <c r="L1" s="28" t="s">
        <v>100</v>
      </c>
      <c r="M1" s="28" t="s">
        <v>103</v>
      </c>
      <c r="N1" s="30" t="s">
        <v>105</v>
      </c>
      <c r="O1" s="30" t="s">
        <v>106</v>
      </c>
      <c r="P1" s="30" t="s">
        <v>107</v>
      </c>
    </row>
    <row r="2" spans="1:16" ht="30.75" thickBot="1">
      <c r="A2" s="1">
        <v>2001</v>
      </c>
      <c r="B2" s="2" t="s">
        <v>31</v>
      </c>
      <c r="C2" s="2" t="s">
        <v>32</v>
      </c>
      <c r="D2" s="2" t="s">
        <v>33</v>
      </c>
      <c r="E2" s="7">
        <v>7048</v>
      </c>
      <c r="F2" s="20">
        <v>44927</v>
      </c>
      <c r="G2" s="26">
        <f>IF(E2&gt;5000,E2*20%,IF(E2&gt;2000,E2*10%,E2*5%))</f>
        <v>1409.6000000000001</v>
      </c>
      <c r="H2" s="26" t="str">
        <f>IF(OR(E2&gt;5000,B2="keyboard"),"Eligible","Not Eligible")</f>
        <v>Eligible</v>
      </c>
      <c r="I2" s="25">
        <f>SUMIFS(E:E,B:B,"Keyboard",C:C,"South")</f>
        <v>42233</v>
      </c>
      <c r="J2" s="22"/>
      <c r="K2" s="22">
        <f>_xlfn.XMATCH("Keyboard", B:B)</f>
        <v>2</v>
      </c>
      <c r="L2" s="22" t="s">
        <v>99</v>
      </c>
      <c r="M2" s="22">
        <f ca="1">SUM(OFFSET(E2,0,0,5,1))</f>
        <v>96800</v>
      </c>
      <c r="N2" s="8">
        <f>ROUND(E2,2)</f>
        <v>7048</v>
      </c>
      <c r="O2">
        <f>CEILING(E2,100)</f>
        <v>7100</v>
      </c>
      <c r="P2">
        <f>FLOOR(E2,100)</f>
        <v>7000</v>
      </c>
    </row>
    <row r="3" spans="1:16" ht="15.75" thickBot="1">
      <c r="A3" s="1">
        <v>2002</v>
      </c>
      <c r="B3" s="2" t="s">
        <v>34</v>
      </c>
      <c r="C3" s="2" t="s">
        <v>35</v>
      </c>
      <c r="D3" s="2" t="s">
        <v>36</v>
      </c>
      <c r="E3" s="7">
        <v>17428</v>
      </c>
      <c r="F3" s="20">
        <v>44942</v>
      </c>
      <c r="G3" s="26">
        <f t="shared" ref="G3:G21" si="0">IF(E3&gt;5000,E3*20%,IF(E3&gt;2000,E3*10%,E3*5%))</f>
        <v>3485.6000000000004</v>
      </c>
      <c r="H3" s="26" t="str">
        <f t="shared" ref="H3:H21" si="1">IF(OR(E3&gt;5000,B3="keyboard"),"Eligible","Not Eligible")</f>
        <v>Eligible</v>
      </c>
      <c r="I3" s="25"/>
      <c r="J3" s="22"/>
      <c r="K3" s="22"/>
      <c r="L3" s="22">
        <f ca="1">SUM(INDIRECT(L2))</f>
        <v>214790</v>
      </c>
      <c r="M3" s="22"/>
    </row>
    <row r="4" spans="1:16" ht="15.75" thickBot="1">
      <c r="A4" s="1">
        <v>2003</v>
      </c>
      <c r="B4" s="2" t="s">
        <v>37</v>
      </c>
      <c r="C4" s="2" t="s">
        <v>32</v>
      </c>
      <c r="D4" s="2" t="s">
        <v>38</v>
      </c>
      <c r="E4" s="7">
        <v>23672</v>
      </c>
      <c r="F4" s="20">
        <v>44957</v>
      </c>
      <c r="G4" s="26">
        <f t="shared" si="0"/>
        <v>4734.4000000000005</v>
      </c>
      <c r="H4" s="26" t="str">
        <f t="shared" si="1"/>
        <v>Eligible</v>
      </c>
    </row>
    <row r="5" spans="1:16" ht="15.75" thickBot="1">
      <c r="A5" s="1">
        <v>2004</v>
      </c>
      <c r="B5" s="2" t="s">
        <v>34</v>
      </c>
      <c r="C5" s="2" t="s">
        <v>39</v>
      </c>
      <c r="D5" s="2" t="s">
        <v>40</v>
      </c>
      <c r="E5" s="7">
        <v>5264</v>
      </c>
      <c r="F5" s="20">
        <v>44972</v>
      </c>
      <c r="G5" s="26">
        <f t="shared" si="0"/>
        <v>1052.8</v>
      </c>
      <c r="H5" s="26" t="str">
        <f t="shared" si="1"/>
        <v>Eligible</v>
      </c>
    </row>
    <row r="6" spans="1:16" ht="30.75" thickBot="1">
      <c r="A6" s="1">
        <v>2005</v>
      </c>
      <c r="B6" s="2" t="s">
        <v>31</v>
      </c>
      <c r="C6" s="2" t="s">
        <v>41</v>
      </c>
      <c r="D6" s="2" t="s">
        <v>42</v>
      </c>
      <c r="E6" s="7">
        <v>43388</v>
      </c>
      <c r="F6" s="20">
        <v>44987</v>
      </c>
      <c r="G6" s="26">
        <f t="shared" si="0"/>
        <v>8677.6</v>
      </c>
      <c r="H6" s="26" t="str">
        <f t="shared" si="1"/>
        <v>Eligible</v>
      </c>
      <c r="J6" s="36" t="s">
        <v>111</v>
      </c>
      <c r="K6" s="37"/>
      <c r="M6" s="39" t="s">
        <v>114</v>
      </c>
      <c r="N6" s="40"/>
    </row>
    <row r="7" spans="1:16" ht="19.5" thickBot="1">
      <c r="A7" s="1">
        <v>2006</v>
      </c>
      <c r="B7" s="2" t="s">
        <v>37</v>
      </c>
      <c r="C7" s="2" t="s">
        <v>41</v>
      </c>
      <c r="D7" s="2" t="s">
        <v>43</v>
      </c>
      <c r="E7" s="7">
        <v>19757</v>
      </c>
      <c r="F7" s="20">
        <v>45002</v>
      </c>
      <c r="G7" s="26">
        <f t="shared" si="0"/>
        <v>3951.4</v>
      </c>
      <c r="H7" s="26" t="str">
        <f t="shared" si="1"/>
        <v>Eligible</v>
      </c>
      <c r="J7" s="35" t="s">
        <v>109</v>
      </c>
      <c r="K7" s="35" t="s">
        <v>110</v>
      </c>
      <c r="M7" s="42" t="s">
        <v>112</v>
      </c>
      <c r="N7" s="42" t="s">
        <v>110</v>
      </c>
    </row>
    <row r="8" spans="1:16" ht="15.75" thickBot="1">
      <c r="A8" s="1">
        <v>2007</v>
      </c>
      <c r="B8" s="2" t="s">
        <v>37</v>
      </c>
      <c r="C8" s="2" t="s">
        <v>39</v>
      </c>
      <c r="D8" s="2" t="s">
        <v>44</v>
      </c>
      <c r="E8" s="7">
        <v>32058</v>
      </c>
      <c r="F8" s="20">
        <v>45017</v>
      </c>
      <c r="G8" s="26">
        <f t="shared" si="0"/>
        <v>6411.6</v>
      </c>
      <c r="H8" s="26" t="str">
        <f t="shared" si="1"/>
        <v>Eligible</v>
      </c>
      <c r="J8" s="22">
        <v>2001</v>
      </c>
      <c r="K8" s="22">
        <f>VLOOKUP(J8,A1:G21,5,TRUE)</f>
        <v>7048</v>
      </c>
      <c r="M8" s="38" t="s">
        <v>113</v>
      </c>
      <c r="N8" s="22">
        <f>_xlfn.XLOOKUP(M8,D:D,E:E)</f>
        <v>43388</v>
      </c>
    </row>
    <row r="9" spans="1:16" ht="30.75" thickBot="1">
      <c r="A9" s="1">
        <v>2008</v>
      </c>
      <c r="B9" s="2" t="s">
        <v>31</v>
      </c>
      <c r="C9" s="2" t="s">
        <v>39</v>
      </c>
      <c r="D9" s="2" t="s">
        <v>45</v>
      </c>
      <c r="E9" s="7">
        <v>46429</v>
      </c>
      <c r="F9" s="20">
        <v>45032</v>
      </c>
      <c r="G9" s="26">
        <f t="shared" si="0"/>
        <v>9285.8000000000011</v>
      </c>
      <c r="H9" s="26" t="str">
        <f t="shared" si="1"/>
        <v>Eligible</v>
      </c>
    </row>
    <row r="10" spans="1:16" ht="15.75" thickBot="1">
      <c r="A10" s="1">
        <v>2009</v>
      </c>
      <c r="B10" s="2" t="s">
        <v>34</v>
      </c>
      <c r="C10" s="2" t="s">
        <v>39</v>
      </c>
      <c r="D10" s="2" t="s">
        <v>46</v>
      </c>
      <c r="E10" s="7">
        <v>19746</v>
      </c>
      <c r="F10" s="20">
        <v>45047</v>
      </c>
      <c r="G10" s="26">
        <f t="shared" si="0"/>
        <v>3949.2000000000003</v>
      </c>
      <c r="H10" s="26" t="str">
        <f t="shared" si="1"/>
        <v>Eligible</v>
      </c>
    </row>
    <row r="11" spans="1:16" ht="30.75" thickBot="1">
      <c r="A11" s="1">
        <v>2010</v>
      </c>
      <c r="B11" s="2" t="s">
        <v>31</v>
      </c>
      <c r="C11" s="2" t="s">
        <v>32</v>
      </c>
      <c r="D11" s="2" t="s">
        <v>47</v>
      </c>
      <c r="E11" s="7">
        <v>35185</v>
      </c>
      <c r="F11" s="20">
        <v>45062</v>
      </c>
      <c r="G11" s="26">
        <f t="shared" si="0"/>
        <v>7037</v>
      </c>
      <c r="H11" s="26" t="str">
        <f t="shared" si="1"/>
        <v>Eligible</v>
      </c>
    </row>
    <row r="12" spans="1:16" ht="30.75" thickBot="1">
      <c r="A12" s="1">
        <v>2011</v>
      </c>
      <c r="B12" s="2" t="s">
        <v>31</v>
      </c>
      <c r="C12" s="2" t="s">
        <v>39</v>
      </c>
      <c r="D12" s="2" t="s">
        <v>48</v>
      </c>
      <c r="E12" s="7">
        <v>33920</v>
      </c>
      <c r="F12" s="20">
        <v>45077</v>
      </c>
      <c r="G12" s="26">
        <f t="shared" si="0"/>
        <v>6784</v>
      </c>
      <c r="H12" s="26" t="str">
        <f>IF(OR(E12&gt;5000,B12="keyboard"),"Eligible","Not Eligible")</f>
        <v>Eligible</v>
      </c>
    </row>
    <row r="13" spans="1:16" ht="30.75" thickBot="1">
      <c r="A13" s="1">
        <v>2012</v>
      </c>
      <c r="B13" s="2" t="s">
        <v>49</v>
      </c>
      <c r="C13" s="2" t="s">
        <v>41</v>
      </c>
      <c r="D13" s="2" t="s">
        <v>50</v>
      </c>
      <c r="E13" s="7">
        <v>35611</v>
      </c>
      <c r="F13" s="20">
        <v>45092</v>
      </c>
      <c r="G13" s="26">
        <f t="shared" si="0"/>
        <v>7122.2000000000007</v>
      </c>
      <c r="H13" s="26" t="str">
        <f t="shared" si="1"/>
        <v>Eligible</v>
      </c>
    </row>
    <row r="14" spans="1:16" ht="30.75" thickBot="1">
      <c r="A14" s="1">
        <v>2013</v>
      </c>
      <c r="B14" s="2" t="s">
        <v>51</v>
      </c>
      <c r="C14" s="2" t="s">
        <v>39</v>
      </c>
      <c r="D14" s="2" t="s">
        <v>52</v>
      </c>
      <c r="E14" s="7">
        <v>15560</v>
      </c>
      <c r="F14" s="20">
        <v>45107</v>
      </c>
      <c r="G14" s="26">
        <f t="shared" si="0"/>
        <v>3112</v>
      </c>
      <c r="H14" s="26" t="str">
        <f t="shared" si="1"/>
        <v>Eligible</v>
      </c>
    </row>
    <row r="15" spans="1:16" ht="30.75" thickBot="1">
      <c r="A15" s="1">
        <v>2014</v>
      </c>
      <c r="B15" s="2" t="s">
        <v>51</v>
      </c>
      <c r="C15" s="2" t="s">
        <v>32</v>
      </c>
      <c r="D15" s="2" t="s">
        <v>53</v>
      </c>
      <c r="E15" s="7">
        <v>7283</v>
      </c>
      <c r="F15" s="20">
        <v>45122</v>
      </c>
      <c r="G15" s="26">
        <f t="shared" si="0"/>
        <v>1456.6000000000001</v>
      </c>
      <c r="H15" s="26" t="str">
        <f t="shared" si="1"/>
        <v>Eligible</v>
      </c>
    </row>
    <row r="16" spans="1:16" ht="30.75" thickBot="1">
      <c r="A16" s="1">
        <v>2015</v>
      </c>
      <c r="B16" s="2" t="s">
        <v>51</v>
      </c>
      <c r="C16" s="2" t="s">
        <v>39</v>
      </c>
      <c r="D16" s="2" t="s">
        <v>54</v>
      </c>
      <c r="E16" s="7">
        <v>15678</v>
      </c>
      <c r="F16" s="20">
        <v>45137</v>
      </c>
      <c r="G16" s="26">
        <f t="shared" si="0"/>
        <v>3135.6000000000004</v>
      </c>
      <c r="H16" s="26" t="str">
        <f t="shared" si="1"/>
        <v>Eligible</v>
      </c>
    </row>
    <row r="17" spans="1:8" ht="30.75" thickBot="1">
      <c r="A17" s="1">
        <v>2016</v>
      </c>
      <c r="B17" s="2" t="s">
        <v>37</v>
      </c>
      <c r="C17" s="2" t="s">
        <v>39</v>
      </c>
      <c r="D17" s="2" t="s">
        <v>55</v>
      </c>
      <c r="E17" s="7">
        <v>5277</v>
      </c>
      <c r="F17" s="20">
        <v>45152</v>
      </c>
      <c r="G17" s="26">
        <f t="shared" si="0"/>
        <v>1055.4000000000001</v>
      </c>
      <c r="H17" s="26" t="str">
        <f t="shared" si="1"/>
        <v>Eligible</v>
      </c>
    </row>
    <row r="18" spans="1:8" ht="30.75" thickBot="1">
      <c r="A18" s="1">
        <v>2017</v>
      </c>
      <c r="B18" s="2" t="s">
        <v>49</v>
      </c>
      <c r="C18" s="2" t="s">
        <v>41</v>
      </c>
      <c r="D18" s="2" t="s">
        <v>56</v>
      </c>
      <c r="E18" s="7">
        <v>41871</v>
      </c>
      <c r="F18" s="20">
        <v>45167</v>
      </c>
      <c r="G18" s="26">
        <f t="shared" si="0"/>
        <v>8374.2000000000007</v>
      </c>
      <c r="H18" s="26" t="str">
        <f t="shared" si="1"/>
        <v>Eligible</v>
      </c>
    </row>
    <row r="19" spans="1:8" ht="30.75" thickBot="1">
      <c r="A19" s="1">
        <v>2018</v>
      </c>
      <c r="B19" s="2" t="s">
        <v>49</v>
      </c>
      <c r="C19" s="2" t="s">
        <v>35</v>
      </c>
      <c r="D19" s="2" t="s">
        <v>57</v>
      </c>
      <c r="E19" s="7">
        <v>38161</v>
      </c>
      <c r="F19" s="20">
        <v>45182</v>
      </c>
      <c r="G19" s="26">
        <f t="shared" si="0"/>
        <v>7632.2000000000007</v>
      </c>
      <c r="H19" s="26" t="str">
        <f t="shared" si="1"/>
        <v>Eligible</v>
      </c>
    </row>
    <row r="20" spans="1:8" ht="30.75" thickBot="1">
      <c r="A20" s="1">
        <v>2019</v>
      </c>
      <c r="B20" s="2" t="s">
        <v>37</v>
      </c>
      <c r="C20" s="2" t="s">
        <v>35</v>
      </c>
      <c r="D20" s="2" t="s">
        <v>58</v>
      </c>
      <c r="E20" s="7">
        <v>30436</v>
      </c>
      <c r="F20" s="20">
        <v>45197</v>
      </c>
      <c r="G20" s="26">
        <f t="shared" si="0"/>
        <v>6087.2000000000007</v>
      </c>
      <c r="H20" s="26" t="str">
        <f t="shared" si="1"/>
        <v>Eligible</v>
      </c>
    </row>
    <row r="21" spans="1:8" ht="30.75" thickBot="1">
      <c r="A21" s="1">
        <v>2020</v>
      </c>
      <c r="B21" s="2" t="s">
        <v>34</v>
      </c>
      <c r="C21" s="2" t="s">
        <v>35</v>
      </c>
      <c r="D21" s="2" t="s">
        <v>59</v>
      </c>
      <c r="E21" s="7">
        <v>33953</v>
      </c>
      <c r="F21" s="20">
        <v>45212</v>
      </c>
      <c r="G21" s="26">
        <f t="shared" si="0"/>
        <v>6790.6</v>
      </c>
      <c r="H21" s="26" t="str">
        <f t="shared" si="1"/>
        <v>Eligible</v>
      </c>
    </row>
  </sheetData>
  <mergeCells count="2">
    <mergeCell ref="J6:K6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employee data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ATTIA</dc:creator>
  <cp:lastModifiedBy>KASIM ATTIA</cp:lastModifiedBy>
  <dcterms:created xsi:type="dcterms:W3CDTF">2015-06-05T18:17:20Z</dcterms:created>
  <dcterms:modified xsi:type="dcterms:W3CDTF">2026-03-06T17:52:23Z</dcterms:modified>
</cp:coreProperties>
</file>